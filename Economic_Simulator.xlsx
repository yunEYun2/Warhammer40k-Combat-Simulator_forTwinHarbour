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hohm\Desktop\"/>
    </mc:Choice>
  </mc:AlternateContent>
  <xr:revisionPtr revIDLastSave="0" documentId="13_ncr:1_{6EEF1F71-4A13-4646-B0AC-C21E229A77B3}" xr6:coauthVersionLast="47" xr6:coauthVersionMax="47" xr10:uidLastSave="{00000000-0000-0000-0000-000000000000}"/>
  <bookViews>
    <workbookView xWindow="-108" yWindow="-108" windowWidth="30936" windowHeight="16776" xr2:uid="{03F20699-0A40-41DB-8F60-44DA44EDD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" l="1"/>
  <c r="M4" i="1"/>
  <c r="K6" i="1"/>
  <c r="K7" i="1"/>
  <c r="K8" i="1"/>
  <c r="K9" i="1"/>
  <c r="K10" i="1"/>
  <c r="J6" i="1"/>
  <c r="J7" i="1"/>
  <c r="J8" i="1"/>
  <c r="J9" i="1"/>
  <c r="J10" i="1"/>
  <c r="I5" i="1"/>
  <c r="I6" i="1"/>
  <c r="I7" i="1"/>
  <c r="I8" i="1"/>
  <c r="I9" i="1"/>
  <c r="I10" i="1"/>
  <c r="G5" i="1"/>
  <c r="G6" i="1"/>
  <c r="G7" i="1"/>
  <c r="G8" i="1"/>
  <c r="G9" i="1"/>
  <c r="G10" i="1"/>
  <c r="G4" i="1"/>
  <c r="K5" i="1"/>
  <c r="J5" i="1"/>
  <c r="K4" i="1"/>
  <c r="J4" i="1"/>
  <c r="I4" i="1"/>
  <c r="H3" i="1"/>
  <c r="H4" i="1" s="1"/>
  <c r="H5" i="1" s="1"/>
  <c r="H6" i="1" s="1"/>
  <c r="H7" i="1" s="1"/>
  <c r="H8" i="1" s="1"/>
  <c r="H9" i="1" s="1"/>
  <c r="H10" i="1" s="1"/>
  <c r="L3" i="1"/>
  <c r="F4" i="1"/>
  <c r="L4" i="1" l="1"/>
  <c r="M5" i="1" s="1"/>
  <c r="L5" i="1" l="1"/>
  <c r="L6" i="1" s="1"/>
  <c r="M6" i="1" l="1"/>
  <c r="L7" i="1"/>
  <c r="M7" i="1"/>
  <c r="L8" i="1" l="1"/>
  <c r="M8" i="1"/>
  <c r="L9" i="1" l="1"/>
  <c r="M9" i="1"/>
  <c r="L10" i="1" l="1"/>
  <c r="M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yun choi</author>
  </authors>
  <commentList>
    <comment ref="G2" authorId="0" shapeId="0" xr:uid="{78312FD7-F006-45E7-A1FA-D16B6BA6F14D}">
      <text>
        <r>
          <rPr>
            <b/>
            <sz val="9"/>
            <color indexed="81"/>
            <rFont val="Tahoma"/>
            <family val="2"/>
          </rPr>
          <t>yun choi:</t>
        </r>
        <r>
          <rPr>
            <sz val="9"/>
            <color indexed="81"/>
            <rFont val="Tahoma"/>
            <family val="2"/>
          </rPr>
          <t xml:space="preserve">
if 
(current play time &gt;
 build time)
then 
{ give bonus }
</t>
        </r>
      </text>
    </comment>
    <comment ref="I2" authorId="0" shapeId="0" xr:uid="{5E6726BA-72B4-41A1-8C4B-8F2C38923208}">
      <text>
        <r>
          <rPr>
            <b/>
            <sz val="9"/>
            <color indexed="81"/>
            <rFont val="Tahoma"/>
            <family val="2"/>
          </rPr>
          <t>yun choi:</t>
        </r>
        <r>
          <rPr>
            <sz val="9"/>
            <color indexed="81"/>
            <rFont val="Tahoma"/>
            <family val="2"/>
          </rPr>
          <t xml:space="preserve">
if
( current play time &gt; 
  move&amp;combat time)
then
{give outland output bonus)</t>
        </r>
      </text>
    </comment>
    <comment ref="C13" authorId="0" shapeId="0" xr:uid="{D851FE8D-460B-46A6-B62A-B4AA9FD8081E}">
      <text>
        <r>
          <rPr>
            <b/>
            <sz val="9"/>
            <color indexed="81"/>
            <rFont val="Tahoma"/>
            <family val="2"/>
          </rPr>
          <t>yun choi:</t>
        </r>
        <r>
          <rPr>
            <sz val="9"/>
            <color indexed="81"/>
            <rFont val="Tahoma"/>
            <family val="2"/>
          </rPr>
          <t xml:space="preserve">
 Drag that slider 
 if want change 
 quest reward value </t>
        </r>
      </text>
    </comment>
  </commentList>
</comments>
</file>

<file path=xl/sharedStrings.xml><?xml version="1.0" encoding="utf-8"?>
<sst xmlns="http://schemas.openxmlformats.org/spreadsheetml/2006/main" count="33" uniqueCount="33">
  <si>
    <t>Initial_Economy_Power</t>
  </si>
  <si>
    <t>Mainland_Base_Output_Day</t>
  </si>
  <si>
    <t>Tall_Building_Cost</t>
  </si>
  <si>
    <t>Tall_Build_Time_Day</t>
  </si>
  <si>
    <t>Tall_Output_Bonus</t>
  </si>
  <si>
    <t>Wide_Unit_Cost</t>
  </si>
  <si>
    <t>Wide_Unit_Upkeep_Day</t>
  </si>
  <si>
    <t>Wide_Move_Combat_Time_Day</t>
  </si>
  <si>
    <t>Outland_Base_Output_Day</t>
  </si>
  <si>
    <t>Quest_Trigger_Interval_Day</t>
  </si>
  <si>
    <t>Quest_Reward_Value</t>
  </si>
  <si>
    <t>Variable</t>
    <phoneticPr fontId="3" type="noConversion"/>
  </si>
  <si>
    <t>Values</t>
    <phoneticPr fontId="3" type="noConversion"/>
  </si>
  <si>
    <t>Note</t>
    <phoneticPr fontId="3" type="noConversion"/>
  </si>
  <si>
    <t>Main land resources earn value per day</t>
    <phoneticPr fontId="3" type="noConversion"/>
  </si>
  <si>
    <t>Unit making cost for skirmish</t>
    <phoneticPr fontId="3" type="noConversion"/>
  </si>
  <si>
    <t>Resource boost building cost</t>
    <phoneticPr fontId="3" type="noConversion"/>
  </si>
  <si>
    <t>Require time to make resource boost building</t>
    <phoneticPr fontId="3" type="noConversion"/>
  </si>
  <si>
    <t>Ratio of resource boost</t>
    <phoneticPr fontId="3" type="noConversion"/>
  </si>
  <si>
    <t>Simplified Manuever time + Unit product time</t>
    <phoneticPr fontId="3" type="noConversion"/>
  </si>
  <si>
    <t>Occupied territory resource earn value</t>
    <phoneticPr fontId="3" type="noConversion"/>
  </si>
  <si>
    <t xml:space="preserve">Cooltime for new Order(Quest) </t>
    <phoneticPr fontId="3" type="noConversion"/>
  </si>
  <si>
    <t>Early phase order reward resource value</t>
    <phoneticPr fontId="3" type="noConversion"/>
  </si>
  <si>
    <t>Initial resources value ( united as one value in various )</t>
    <phoneticPr fontId="3" type="noConversion"/>
  </si>
  <si>
    <t>Days</t>
    <phoneticPr fontId="3" type="noConversion"/>
  </si>
  <si>
    <t>Tall_Daily_Output</t>
    <phoneticPr fontId="3" type="noConversion"/>
  </si>
  <si>
    <t>Wide_Daily_Output</t>
    <phoneticPr fontId="3" type="noConversion"/>
  </si>
  <si>
    <t>Wide_QuestReward</t>
    <phoneticPr fontId="3" type="noConversion"/>
  </si>
  <si>
    <t>Unit maintenance cost per day (from extra unit than init)</t>
    <phoneticPr fontId="3" type="noConversion"/>
  </si>
  <si>
    <t>Wide_Unitupkeep_Cost</t>
    <phoneticPr fontId="3" type="noConversion"/>
  </si>
  <si>
    <t>Tall_Accumulate_Output</t>
    <phoneticPr fontId="3" type="noConversion"/>
  </si>
  <si>
    <t>Wide_Accumulate_Output</t>
    <phoneticPr fontId="3" type="noConversion"/>
  </si>
  <si>
    <t>withoutQuest_Wide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</si>
</sst>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b/>
      <sz val="11"/>
      <color theme="0"/>
      <name val="Arial"/>
      <family val="2"/>
    </font>
    <font>
      <sz val="11"/>
      <color theme="0"/>
      <name val="Arial"/>
      <family val="3"/>
    </font>
    <font>
      <sz val="11"/>
      <color rgb="FF1F1F1F"/>
      <name val="Arial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2" fillId="0" borderId="7" xfId="0" applyFont="1" applyBorder="1" applyAlignment="1">
      <alignment vertical="center" wrapText="1" readingOrder="1"/>
    </xf>
    <xf numFmtId="0" fontId="1" fillId="0" borderId="8" xfId="0" applyFont="1" applyBorder="1" applyAlignment="1">
      <alignment vertical="center" wrapText="1" readingOrder="1"/>
    </xf>
    <xf numFmtId="0" fontId="1" fillId="0" borderId="9" xfId="0" applyFont="1" applyBorder="1" applyAlignment="1">
      <alignment vertical="center" wrapText="1" readingOrder="1"/>
    </xf>
    <xf numFmtId="0" fontId="4" fillId="0" borderId="4" xfId="0" applyFont="1" applyBorder="1" applyAlignment="1">
      <alignment vertical="center" wrapText="1" readingOrder="1"/>
    </xf>
    <xf numFmtId="0" fontId="5" fillId="0" borderId="5" xfId="0" applyFont="1" applyBorder="1" applyAlignment="1">
      <alignment vertical="center" wrapText="1" readingOrder="1"/>
    </xf>
    <xf numFmtId="0" fontId="5" fillId="0" borderId="6" xfId="0" applyFont="1" applyBorder="1" applyAlignment="1">
      <alignment vertical="center" wrapText="1" readingOrder="1"/>
    </xf>
    <xf numFmtId="0" fontId="6" fillId="0" borderId="3" xfId="0" applyFont="1" applyBorder="1" applyAlignment="1">
      <alignment vertical="center" wrapText="1" readingOrder="1"/>
    </xf>
  </cellXfs>
  <cellStyles count="1">
    <cellStyle name="표준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/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/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/>
        <right/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Tall Vs Wide Strategy with Quest (or not)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Tall_Accumulate_Output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Sheet1!$F$3:$F$10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Sheet1!$H$3:$H$10</c:f>
              <c:numCache>
                <c:formatCode>General</c:formatCode>
                <c:ptCount val="8"/>
                <c:pt idx="0">
                  <c:v>2000</c:v>
                </c:pt>
                <c:pt idx="1">
                  <c:v>3000</c:v>
                </c:pt>
                <c:pt idx="2">
                  <c:v>4500</c:v>
                </c:pt>
                <c:pt idx="3">
                  <c:v>6000</c:v>
                </c:pt>
                <c:pt idx="4">
                  <c:v>7500</c:v>
                </c:pt>
                <c:pt idx="5">
                  <c:v>9000</c:v>
                </c:pt>
                <c:pt idx="6">
                  <c:v>10500</c:v>
                </c:pt>
                <c:pt idx="7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6C-42FD-BFFA-EA3089AF9B32}"/>
            </c:ext>
          </c:extLst>
        </c:ser>
        <c:ser>
          <c:idx val="1"/>
          <c:order val="1"/>
          <c:tx>
            <c:strRef>
              <c:f>Sheet1!$L$2</c:f>
              <c:strCache>
                <c:ptCount val="1"/>
                <c:pt idx="0">
                  <c:v>Wide_Accumulate_Output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Sheet1!$F$3:$F$10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Sheet1!$L$3:$L$10</c:f>
              <c:numCache>
                <c:formatCode>General</c:formatCode>
                <c:ptCount val="8"/>
                <c:pt idx="0">
                  <c:v>2000</c:v>
                </c:pt>
                <c:pt idx="1">
                  <c:v>2850</c:v>
                </c:pt>
                <c:pt idx="2">
                  <c:v>3700</c:v>
                </c:pt>
                <c:pt idx="3">
                  <c:v>5915</c:v>
                </c:pt>
                <c:pt idx="4">
                  <c:v>8130</c:v>
                </c:pt>
                <c:pt idx="5">
                  <c:v>10345</c:v>
                </c:pt>
                <c:pt idx="6">
                  <c:v>12560</c:v>
                </c:pt>
                <c:pt idx="7">
                  <c:v>14775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6C-42FD-BFFA-EA3089AF9B32}"/>
            </c:ext>
          </c:extLst>
        </c:ser>
        <c:ser>
          <c:idx val="2"/>
          <c:order val="2"/>
          <c:tx>
            <c:strRef>
              <c:f>Sheet1!$M$2</c:f>
              <c:strCache>
                <c:ptCount val="1"/>
                <c:pt idx="0">
                  <c:v>withoutQuest_Wide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Sheet1!$F$3:$F$10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Sheet1!$M$3:$M$10</c:f>
              <c:numCache>
                <c:formatCode>General</c:formatCode>
                <c:ptCount val="8"/>
                <c:pt idx="0">
                  <c:v>2000</c:v>
                </c:pt>
                <c:pt idx="1">
                  <c:v>2850</c:v>
                </c:pt>
                <c:pt idx="2">
                  <c:v>3700</c:v>
                </c:pt>
                <c:pt idx="3">
                  <c:v>5350</c:v>
                </c:pt>
                <c:pt idx="4">
                  <c:v>7565</c:v>
                </c:pt>
                <c:pt idx="5">
                  <c:v>9780</c:v>
                </c:pt>
                <c:pt idx="6">
                  <c:v>11995</c:v>
                </c:pt>
                <c:pt idx="7">
                  <c:v>14210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6C-42FD-BFFA-EA3089AF9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5033600"/>
        <c:axId val="1015035040"/>
      </c:lineChart>
      <c:catAx>
        <c:axId val="101503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5035040"/>
        <c:crosses val="autoZero"/>
        <c:auto val="1"/>
        <c:lblAlgn val="ctr"/>
        <c:lblOffset val="100"/>
        <c:noMultiLvlLbl val="0"/>
      </c:catAx>
      <c:valAx>
        <c:axId val="101503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503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6" fmlaLink="$C$13" horiz="1" max="2000" page="10" val="565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609600</xdr:colOff>
      <xdr:row>10</xdr:row>
      <xdr:rowOff>80682</xdr:rowOff>
    </xdr:from>
    <xdr:to>
      <xdr:col>13</xdr:col>
      <xdr:colOff>439271</xdr:colOff>
      <xdr:row>36</xdr:row>
      <xdr:rowOff>143435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2CB64E9-6770-D220-09F9-4120584B6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1471557</xdr:colOff>
          <xdr:row>15</xdr:row>
          <xdr:rowOff>72166</xdr:rowOff>
        </xdr:from>
        <xdr:to>
          <xdr:col>3</xdr:col>
          <xdr:colOff>651734</xdr:colOff>
          <xdr:row>19</xdr:row>
          <xdr:rowOff>41685</xdr:rowOff>
        </xdr:to>
        <xdr:sp macro="" textlink="">
          <xdr:nvSpPr>
            <xdr:cNvPr id="1027" name="Scroll Ba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539C0E-93E0-4D05-AF8B-CB9EA0C885F9}" name="표2" displayName="표2" ref="B2:D13" totalsRowShown="0" headerRowDxfId="6" headerRowBorderDxfId="8" tableBorderDxfId="9" totalsRowBorderDxfId="7">
  <autoFilter ref="B2:D13" xr:uid="{F0539C0E-93E0-4D05-AF8B-CB9EA0C885F9}"/>
  <tableColumns count="3">
    <tableColumn id="1" xr3:uid="{CDEC0903-3556-449A-A219-B91122EDABFB}" name="Variable" dataDxfId="3"/>
    <tableColumn id="2" xr3:uid="{6F0D136D-082B-463C-868B-C9D102189071}" name="Values" dataDxfId="4"/>
    <tableColumn id="3" xr3:uid="{E2077E19-DD70-4A08-89A0-ACFF94DEEB97}" name="Note" dataDxfId="5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949BA1-DF85-4416-AE16-0B6C6648D890}" name="표3" displayName="표3" ref="F2:M10" totalsRowShown="0">
  <autoFilter ref="F2:M10" xr:uid="{13949BA1-DF85-4416-AE16-0B6C6648D890}"/>
  <tableColumns count="8">
    <tableColumn id="1" xr3:uid="{5E37C839-5559-4A1D-A3BB-85EEE4571C35}" name="Days"/>
    <tableColumn id="2" xr3:uid="{081E5F1F-5FD0-462B-AC1A-3C5C5C960F40}" name="Tall_Daily_Output"/>
    <tableColumn id="3" xr3:uid="{8E26845B-BADC-4494-9768-9A2A1FD36852}" name="Tall_Accumulate_Output"/>
    <tableColumn id="4" xr3:uid="{684848CC-AF4D-4670-BE21-F00B577BDEC0}" name="Wide_Daily_Output" dataDxfId="2">
      <calculatedColumnFormula>$C$3-$C$5</calculatedColumnFormula>
    </tableColumn>
    <tableColumn id="5" xr3:uid="{4E843CD0-96AC-414D-A7D6-FAAC6275EDB7}" name="Wide_QuestReward"/>
    <tableColumn id="6" xr3:uid="{B6A6F3FB-733C-4017-805E-1ADFD6F12377}" name="Wide_Unitupkeep_Cost"/>
    <tableColumn id="7" xr3:uid="{57C9A4FA-4869-4877-ABE5-832FAE1F55F0}" name="Wide_Accumulate_Output" dataDxfId="1">
      <calculatedColumnFormula>$C$3-C8</calculatedColumnFormula>
    </tableColumn>
    <tableColumn id="8" xr3:uid="{159898D1-6960-43C1-B421-E76D1F02FD04}" name="withoutQuest_Wide" dataDxfId="0">
      <calculatedColumnFormula>L2+I3-K3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mments" Target="../comments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8A4D-681B-4002-B817-A6A62F5E3345}">
  <dimension ref="B2:M13"/>
  <sheetViews>
    <sheetView tabSelected="1" zoomScale="85" zoomScaleNormal="85" workbookViewId="0">
      <selection activeCell="G12" sqref="G12"/>
    </sheetView>
  </sheetViews>
  <sheetFormatPr defaultRowHeight="17.399999999999999" x14ac:dyDescent="0.4"/>
  <cols>
    <col min="2" max="2" width="29.59765625" customWidth="1"/>
    <col min="3" max="3" width="14.796875" customWidth="1"/>
    <col min="4" max="4" width="46.796875" customWidth="1"/>
    <col min="6" max="6" width="7.5" bestFit="1" customWidth="1"/>
    <col min="7" max="7" width="19" bestFit="1" customWidth="1"/>
    <col min="8" max="8" width="25.3984375" bestFit="1" customWidth="1"/>
    <col min="9" max="9" width="20.5" bestFit="1" customWidth="1"/>
    <col min="10" max="10" width="20.69921875" bestFit="1" customWidth="1"/>
    <col min="11" max="11" width="24" bestFit="1" customWidth="1"/>
    <col min="12" max="12" width="26.8984375" bestFit="1" customWidth="1"/>
    <col min="13" max="13" width="22.296875" bestFit="1" customWidth="1"/>
  </cols>
  <sheetData>
    <row r="2" spans="2:13" ht="18" thickBot="1" x14ac:dyDescent="0.45">
      <c r="B2" s="7" t="s">
        <v>11</v>
      </c>
      <c r="C2" s="8" t="s">
        <v>12</v>
      </c>
      <c r="D2" s="9" t="s">
        <v>13</v>
      </c>
      <c r="F2" t="s">
        <v>24</v>
      </c>
      <c r="G2" t="s">
        <v>25</v>
      </c>
      <c r="H2" t="s">
        <v>30</v>
      </c>
      <c r="I2" t="s">
        <v>26</v>
      </c>
      <c r="J2" t="s">
        <v>27</v>
      </c>
      <c r="K2" t="s">
        <v>29</v>
      </c>
      <c r="L2" t="s">
        <v>31</v>
      </c>
      <c r="M2" t="s">
        <v>32</v>
      </c>
    </row>
    <row r="3" spans="2:13" ht="18" thickBot="1" x14ac:dyDescent="0.45">
      <c r="B3" s="2" t="s">
        <v>0</v>
      </c>
      <c r="C3" s="1">
        <v>3000</v>
      </c>
      <c r="D3" s="3" t="s">
        <v>23</v>
      </c>
      <c r="F3">
        <v>0</v>
      </c>
      <c r="G3">
        <v>0</v>
      </c>
      <c r="H3">
        <f>$C$3-$C$4</f>
        <v>2000</v>
      </c>
      <c r="I3">
        <v>0</v>
      </c>
      <c r="J3">
        <v>0</v>
      </c>
      <c r="K3">
        <v>0</v>
      </c>
      <c r="L3">
        <f>$C$3-$C$8</f>
        <v>2000</v>
      </c>
      <c r="M3">
        <f>$C$3-$C$8</f>
        <v>2000</v>
      </c>
    </row>
    <row r="4" spans="2:13" ht="18" thickBot="1" x14ac:dyDescent="0.45">
      <c r="B4" s="2" t="s">
        <v>1</v>
      </c>
      <c r="C4" s="1">
        <v>1000</v>
      </c>
      <c r="D4" s="3" t="s">
        <v>14</v>
      </c>
      <c r="F4">
        <f>F3+1</f>
        <v>1</v>
      </c>
      <c r="G4">
        <f>IF(F4&gt;$C$6, $C$4*(1+$C$7), $C$4)</f>
        <v>1000</v>
      </c>
      <c r="H4">
        <f>H3+G4</f>
        <v>3000</v>
      </c>
      <c r="I4">
        <f>IF(F4&gt;$C$10, $C$4+$C$11, $C$4)</f>
        <v>1000</v>
      </c>
      <c r="J4">
        <f>IF(AND(F4&gt;$C$10, MOD(F4-$C$10, $C$12)=0), $C$13, 0)</f>
        <v>0</v>
      </c>
      <c r="K4">
        <f>$C$9</f>
        <v>150</v>
      </c>
      <c r="L4">
        <f>L3+I4+J4-K4</f>
        <v>2850</v>
      </c>
      <c r="M4">
        <f t="shared" ref="M4:M10" si="0">L3+I4-K4</f>
        <v>2850</v>
      </c>
    </row>
    <row r="5" spans="2:13" ht="18" thickBot="1" x14ac:dyDescent="0.45">
      <c r="B5" s="2" t="s">
        <v>2</v>
      </c>
      <c r="C5" s="1">
        <v>1500</v>
      </c>
      <c r="D5" s="3" t="s">
        <v>16</v>
      </c>
      <c r="F5">
        <v>2</v>
      </c>
      <c r="G5">
        <f t="shared" ref="G5:G10" si="1">IF(F5&gt;$C$6, $C$4*(1+$C$7), $C$4)</f>
        <v>1500</v>
      </c>
      <c r="H5">
        <f t="shared" ref="H5:H10" si="2">H4+G5</f>
        <v>4500</v>
      </c>
      <c r="I5">
        <f t="shared" ref="I5:I10" si="3">IF(F5&gt;$C$10, $C$4+$C$11, $C$4)</f>
        <v>1000</v>
      </c>
      <c r="J5">
        <f>IF(AND(F5&gt;$C$10, MOD(F5-$C$10, $C$12)=0), $C$13, 0)</f>
        <v>0</v>
      </c>
      <c r="K5">
        <f>$C$9</f>
        <v>150</v>
      </c>
      <c r="L5">
        <f>L4+I5+J5-K5</f>
        <v>3700</v>
      </c>
      <c r="M5">
        <f t="shared" si="0"/>
        <v>3700</v>
      </c>
    </row>
    <row r="6" spans="2:13" ht="28.2" thickBot="1" x14ac:dyDescent="0.45">
      <c r="B6" s="2" t="s">
        <v>3</v>
      </c>
      <c r="C6" s="1">
        <v>1</v>
      </c>
      <c r="D6" s="3" t="s">
        <v>17</v>
      </c>
      <c r="F6">
        <v>3</v>
      </c>
      <c r="G6">
        <f t="shared" si="1"/>
        <v>1500</v>
      </c>
      <c r="H6">
        <f t="shared" si="2"/>
        <v>6000</v>
      </c>
      <c r="I6">
        <f t="shared" si="3"/>
        <v>1800</v>
      </c>
      <c r="J6">
        <f t="shared" ref="J6:J10" si="4">IF(AND(F6&gt;$C$10, MOD(F6-$C$10, $C$12)=0), $C$13, 0)</f>
        <v>565</v>
      </c>
      <c r="K6">
        <f t="shared" ref="K6:K10" si="5">$C$9</f>
        <v>150</v>
      </c>
      <c r="L6">
        <f t="shared" ref="L6:L10" si="6">L5+I6+J6-K6</f>
        <v>5915</v>
      </c>
      <c r="M6">
        <f t="shared" si="0"/>
        <v>5350</v>
      </c>
    </row>
    <row r="7" spans="2:13" ht="18" thickBot="1" x14ac:dyDescent="0.45">
      <c r="B7" s="2" t="s">
        <v>4</v>
      </c>
      <c r="C7" s="1">
        <v>0.5</v>
      </c>
      <c r="D7" s="10" t="s">
        <v>18</v>
      </c>
      <c r="F7">
        <v>4</v>
      </c>
      <c r="G7">
        <f t="shared" si="1"/>
        <v>1500</v>
      </c>
      <c r="H7">
        <f t="shared" si="2"/>
        <v>7500</v>
      </c>
      <c r="I7">
        <f t="shared" si="3"/>
        <v>1800</v>
      </c>
      <c r="J7">
        <f t="shared" si="4"/>
        <v>565</v>
      </c>
      <c r="K7">
        <f t="shared" si="5"/>
        <v>150</v>
      </c>
      <c r="L7">
        <f t="shared" si="6"/>
        <v>8130</v>
      </c>
      <c r="M7">
        <f t="shared" si="0"/>
        <v>7565</v>
      </c>
    </row>
    <row r="8" spans="2:13" ht="18" thickBot="1" x14ac:dyDescent="0.45">
      <c r="B8" s="2" t="s">
        <v>5</v>
      </c>
      <c r="C8" s="1">
        <v>1000</v>
      </c>
      <c r="D8" s="3" t="s">
        <v>15</v>
      </c>
      <c r="F8">
        <v>5</v>
      </c>
      <c r="G8">
        <f t="shared" si="1"/>
        <v>1500</v>
      </c>
      <c r="H8">
        <f t="shared" si="2"/>
        <v>9000</v>
      </c>
      <c r="I8">
        <f t="shared" si="3"/>
        <v>1800</v>
      </c>
      <c r="J8">
        <f t="shared" si="4"/>
        <v>565</v>
      </c>
      <c r="K8">
        <f t="shared" si="5"/>
        <v>150</v>
      </c>
      <c r="L8">
        <f t="shared" si="6"/>
        <v>10345</v>
      </c>
      <c r="M8">
        <f t="shared" si="0"/>
        <v>9780</v>
      </c>
    </row>
    <row r="9" spans="2:13" ht="18" thickBot="1" x14ac:dyDescent="0.45">
      <c r="B9" s="2" t="s">
        <v>6</v>
      </c>
      <c r="C9" s="1">
        <v>150</v>
      </c>
      <c r="D9" s="3" t="s">
        <v>28</v>
      </c>
      <c r="F9">
        <v>6</v>
      </c>
      <c r="G9">
        <f t="shared" si="1"/>
        <v>1500</v>
      </c>
      <c r="H9">
        <f t="shared" si="2"/>
        <v>10500</v>
      </c>
      <c r="I9">
        <f t="shared" si="3"/>
        <v>1800</v>
      </c>
      <c r="J9">
        <f t="shared" si="4"/>
        <v>565</v>
      </c>
      <c r="K9">
        <f t="shared" si="5"/>
        <v>150</v>
      </c>
      <c r="L9">
        <f t="shared" si="6"/>
        <v>12560</v>
      </c>
      <c r="M9">
        <f t="shared" si="0"/>
        <v>11995</v>
      </c>
    </row>
    <row r="10" spans="2:13" ht="28.2" thickBot="1" x14ac:dyDescent="0.45">
      <c r="B10" s="2" t="s">
        <v>7</v>
      </c>
      <c r="C10" s="1">
        <v>2</v>
      </c>
      <c r="D10" s="3" t="s">
        <v>19</v>
      </c>
      <c r="F10">
        <v>7</v>
      </c>
      <c r="G10">
        <f t="shared" si="1"/>
        <v>1500</v>
      </c>
      <c r="H10">
        <f t="shared" si="2"/>
        <v>12000</v>
      </c>
      <c r="I10">
        <f t="shared" si="3"/>
        <v>1800</v>
      </c>
      <c r="J10">
        <f t="shared" si="4"/>
        <v>565</v>
      </c>
      <c r="K10">
        <f t="shared" si="5"/>
        <v>150</v>
      </c>
      <c r="L10">
        <f t="shared" si="6"/>
        <v>14775</v>
      </c>
      <c r="M10">
        <f t="shared" si="0"/>
        <v>14210</v>
      </c>
    </row>
    <row r="11" spans="2:13" ht="18" thickBot="1" x14ac:dyDescent="0.45">
      <c r="B11" s="2" t="s">
        <v>8</v>
      </c>
      <c r="C11" s="1">
        <v>800</v>
      </c>
      <c r="D11" s="3" t="s">
        <v>20</v>
      </c>
    </row>
    <row r="12" spans="2:13" ht="18" thickBot="1" x14ac:dyDescent="0.45">
      <c r="B12" s="2" t="s">
        <v>9</v>
      </c>
      <c r="C12" s="1">
        <v>1</v>
      </c>
      <c r="D12" s="3" t="s">
        <v>21</v>
      </c>
    </row>
    <row r="13" spans="2:13" x14ac:dyDescent="0.4">
      <c r="B13" s="4" t="s">
        <v>10</v>
      </c>
      <c r="C13" s="5">
        <v>565</v>
      </c>
      <c r="D13" s="6" t="s">
        <v>22</v>
      </c>
    </row>
  </sheetData>
  <phoneticPr fontId="3" type="noConversion"/>
  <pageMargins left="0.7" right="0.7" top="0.75" bottom="0.75" header="0.3" footer="0.3"/>
  <ignoredErrors>
    <ignoredError sqref="I3:I4 M3" calculatedColumn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3" name="Scroll Bar 3">
              <controlPr defaultSize="0" autoPict="0">
                <anchor moveWithCells="1">
                  <from>
                    <xdr:col>1</xdr:col>
                    <xdr:colOff>1470660</xdr:colOff>
                    <xdr:row>15</xdr:row>
                    <xdr:rowOff>68580</xdr:rowOff>
                  </from>
                  <to>
                    <xdr:col>3</xdr:col>
                    <xdr:colOff>655320</xdr:colOff>
                    <xdr:row>19</xdr:row>
                    <xdr:rowOff>38100</xdr:rowOff>
                  </to>
                </anchor>
              </controlPr>
            </control>
          </mc:Choice>
        </mc:AlternateContent>
      </controls>
    </mc:Choice>
  </mc:AlternateContent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 choi</dc:creator>
  <cp:lastModifiedBy>yun choi</cp:lastModifiedBy>
  <dcterms:created xsi:type="dcterms:W3CDTF">2026-05-17T09:30:36Z</dcterms:created>
  <dcterms:modified xsi:type="dcterms:W3CDTF">2026-05-17T10:43:11Z</dcterms:modified>
</cp:coreProperties>
</file>